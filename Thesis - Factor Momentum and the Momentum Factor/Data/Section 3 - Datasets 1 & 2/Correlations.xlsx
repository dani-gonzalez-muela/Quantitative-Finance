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Desktop\Tesis\"/>
    </mc:Choice>
  </mc:AlternateContent>
  <xr:revisionPtr revIDLastSave="0" documentId="13_ncr:1_{1513151F-FE53-4333-96B4-46C882D000D3}" xr6:coauthVersionLast="47" xr6:coauthVersionMax="47" xr10:uidLastSave="{00000000-0000-0000-0000-000000000000}"/>
  <bookViews>
    <workbookView xWindow="-108" yWindow="-108" windowWidth="23256" windowHeight="12576" xr2:uid="{4EAD802E-19A6-4020-9245-416D267689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G22" i="1"/>
  <c r="H21" i="1"/>
  <c r="G21" i="1"/>
  <c r="G16" i="1"/>
  <c r="H17" i="1"/>
  <c r="G17" i="1"/>
  <c r="H16" i="1"/>
  <c r="O17" i="1"/>
  <c r="G19" i="1"/>
  <c r="H20" i="1"/>
  <c r="G20" i="1"/>
  <c r="F20" i="1"/>
  <c r="E20" i="1"/>
  <c r="H19" i="1"/>
  <c r="F19" i="1"/>
  <c r="E19" i="1"/>
  <c r="H15" i="1"/>
  <c r="G15" i="1"/>
  <c r="H14" i="1"/>
  <c r="G14" i="1"/>
  <c r="F15" i="1"/>
  <c r="F14" i="1"/>
  <c r="E14" i="1"/>
  <c r="E15" i="1"/>
  <c r="S16" i="1"/>
  <c r="S15" i="1"/>
  <c r="Y15" i="1"/>
  <c r="X15" i="1"/>
  <c r="W15" i="1"/>
  <c r="V15" i="1"/>
  <c r="V16" i="1"/>
  <c r="Y16" i="1"/>
  <c r="X16" i="1"/>
  <c r="R16" i="1"/>
  <c r="R15" i="1"/>
  <c r="W16" i="1"/>
  <c r="Q16" i="1"/>
  <c r="Q17" i="1" s="1"/>
  <c r="P16" i="1"/>
  <c r="P17" i="1" s="1"/>
  <c r="Q15" i="1"/>
  <c r="P15" i="1"/>
  <c r="N16" i="1"/>
  <c r="N17" i="1" s="1"/>
  <c r="O16" i="1"/>
  <c r="N15" i="1"/>
  <c r="O15" i="1"/>
</calcChain>
</file>

<file path=xl/sharedStrings.xml><?xml version="1.0" encoding="utf-8"?>
<sst xmlns="http://schemas.openxmlformats.org/spreadsheetml/2006/main" count="66" uniqueCount="29">
  <si>
    <t>Median</t>
  </si>
  <si>
    <t>Mean</t>
  </si>
  <si>
    <t>Fama</t>
  </si>
  <si>
    <t>Kelly</t>
  </si>
  <si>
    <t>SMB</t>
  </si>
  <si>
    <t>HML</t>
  </si>
  <si>
    <t>RMW</t>
  </si>
  <si>
    <t>CMA</t>
  </si>
  <si>
    <t>E/P</t>
  </si>
  <si>
    <t>CE/P</t>
  </si>
  <si>
    <t>D/P</t>
  </si>
  <si>
    <t>BAB</t>
  </si>
  <si>
    <t>QMJ</t>
  </si>
  <si>
    <t>Fama B</t>
  </si>
  <si>
    <t>Kelly B</t>
  </si>
  <si>
    <t>Slopes</t>
  </si>
  <si>
    <t>T-values of slopes</t>
  </si>
  <si>
    <t>Ret</t>
  </si>
  <si>
    <t>Time Series</t>
  </si>
  <si>
    <t>Ret_exc_lead1</t>
  </si>
  <si>
    <t>R2</t>
  </si>
  <si>
    <t>AdjR2</t>
  </si>
  <si>
    <t>Cross Section</t>
  </si>
  <si>
    <t>R2ADJ</t>
  </si>
  <si>
    <t>Cross</t>
  </si>
  <si>
    <t>Kelly T</t>
  </si>
  <si>
    <t>Fama t</t>
  </si>
  <si>
    <t>FAMA (T)</t>
  </si>
  <si>
    <t>KEELY(T)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</si>
</sst>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1"/>
      <color theme="1"/>
      <name val="Aptos Narrow"/>
      <family val="2"/>
      <scheme val="minor"/>
    </font>
    <font>
      <sz val="11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0" fontId="2" fillId="0" borderId="0" xfId="0" applyFont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23097-7197-4013-A165-D93BE400C2C6}">
  <dimension ref="A2:Y34"/>
  <sheetViews>
    <sheetView tabSelected="1" topLeftCell="E6" zoomScale="85" zoomScaleNormal="85" workbookViewId="0">
      <selection activeCell="G20" sqref="G20"/>
    </sheetView>
  </sheetViews>
  <sheetFormatPr baseColWidth="10" defaultRowHeight="14.4" x14ac:dyDescent="0.3"/>
  <cols>
    <col min="5" max="7" width="18.44140625" bestFit="1" customWidth="1"/>
    <col min="8" max="8" width="13.21875" bestFit="1" customWidth="1"/>
  </cols>
  <sheetData>
    <row r="2" spans="1:25" x14ac:dyDescent="0.3">
      <c r="E2" s="3" t="s">
        <v>18</v>
      </c>
      <c r="G2" s="7" t="s">
        <v>24</v>
      </c>
      <c r="H2" s="8"/>
      <c r="N2" s="3" t="s">
        <v>18</v>
      </c>
      <c r="V2" s="3" t="s">
        <v>22</v>
      </c>
    </row>
    <row r="3" spans="1:25" x14ac:dyDescent="0.3">
      <c r="B3" t="s">
        <v>15</v>
      </c>
      <c r="E3" t="s">
        <v>17</v>
      </c>
      <c r="G3" s="9" t="s">
        <v>17</v>
      </c>
      <c r="H3" s="10"/>
      <c r="N3" t="s">
        <v>17</v>
      </c>
      <c r="P3" t="s">
        <v>19</v>
      </c>
      <c r="R3" t="s">
        <v>17</v>
      </c>
      <c r="S3" t="s">
        <v>19</v>
      </c>
      <c r="V3" t="s">
        <v>17</v>
      </c>
      <c r="W3" t="s">
        <v>19</v>
      </c>
      <c r="X3" t="s">
        <v>17</v>
      </c>
      <c r="Y3" t="s">
        <v>19</v>
      </c>
    </row>
    <row r="4" spans="1:25" x14ac:dyDescent="0.3">
      <c r="B4" t="s">
        <v>13</v>
      </c>
      <c r="C4" t="s">
        <v>14</v>
      </c>
      <c r="E4" t="s">
        <v>1</v>
      </c>
      <c r="F4" t="s">
        <v>0</v>
      </c>
      <c r="G4" s="9" t="s">
        <v>1</v>
      </c>
      <c r="H4" s="10" t="s">
        <v>0</v>
      </c>
      <c r="N4" t="s">
        <v>20</v>
      </c>
      <c r="P4" t="s">
        <v>20</v>
      </c>
      <c r="R4" t="s">
        <v>21</v>
      </c>
      <c r="S4" t="s">
        <v>21</v>
      </c>
      <c r="V4" t="s">
        <v>20</v>
      </c>
      <c r="W4" t="s">
        <v>20</v>
      </c>
      <c r="X4" t="s">
        <v>23</v>
      </c>
      <c r="Y4" t="s">
        <v>23</v>
      </c>
    </row>
    <row r="5" spans="1:25" x14ac:dyDescent="0.3">
      <c r="A5" t="s">
        <v>4</v>
      </c>
      <c r="B5">
        <v>0.49</v>
      </c>
      <c r="C5">
        <v>0.65</v>
      </c>
      <c r="E5">
        <v>1.53</v>
      </c>
      <c r="F5">
        <v>-0.01</v>
      </c>
      <c r="G5" s="9">
        <v>0.31</v>
      </c>
      <c r="H5" s="10">
        <v>0.1</v>
      </c>
      <c r="N5" t="s">
        <v>0</v>
      </c>
      <c r="O5" t="s">
        <v>1</v>
      </c>
      <c r="P5" t="s">
        <v>0</v>
      </c>
      <c r="Q5" t="s">
        <v>1</v>
      </c>
      <c r="R5" t="s">
        <v>1</v>
      </c>
      <c r="S5" t="s">
        <v>1</v>
      </c>
      <c r="V5" t="s">
        <v>1</v>
      </c>
      <c r="W5" t="s">
        <v>1</v>
      </c>
      <c r="X5" t="s">
        <v>1</v>
      </c>
      <c r="Y5" t="s">
        <v>1</v>
      </c>
    </row>
    <row r="6" spans="1:25" x14ac:dyDescent="0.3">
      <c r="A6" t="s">
        <v>5</v>
      </c>
      <c r="B6">
        <v>0.92</v>
      </c>
      <c r="C6">
        <v>0.36</v>
      </c>
      <c r="E6">
        <v>2.89</v>
      </c>
      <c r="F6">
        <v>1.62</v>
      </c>
      <c r="G6" s="9">
        <v>2.41</v>
      </c>
      <c r="H6" s="10">
        <v>1.05</v>
      </c>
      <c r="N6">
        <v>0.76</v>
      </c>
      <c r="O6">
        <v>2.2200000000000002</v>
      </c>
      <c r="P6">
        <v>1.37</v>
      </c>
      <c r="Q6">
        <v>2.87</v>
      </c>
      <c r="R6">
        <v>1.1000000000000001</v>
      </c>
      <c r="S6">
        <v>1.73</v>
      </c>
      <c r="V6">
        <v>0.41</v>
      </c>
      <c r="W6">
        <v>0.42</v>
      </c>
      <c r="X6">
        <v>0.31</v>
      </c>
      <c r="Y6">
        <v>0.32</v>
      </c>
    </row>
    <row r="7" spans="1:25" x14ac:dyDescent="0.3">
      <c r="A7" t="s">
        <v>6</v>
      </c>
      <c r="B7">
        <v>0.2</v>
      </c>
      <c r="C7">
        <v>7.0000000000000007E-2</v>
      </c>
      <c r="E7">
        <v>0.39</v>
      </c>
      <c r="F7">
        <v>-0.26</v>
      </c>
      <c r="G7" s="9">
        <v>0.16</v>
      </c>
      <c r="H7" s="10">
        <v>-0.01</v>
      </c>
      <c r="N7">
        <v>2.54</v>
      </c>
      <c r="O7">
        <v>4.34</v>
      </c>
      <c r="P7">
        <v>1.07</v>
      </c>
      <c r="Q7">
        <v>2.8</v>
      </c>
      <c r="R7">
        <v>2.7</v>
      </c>
      <c r="S7">
        <v>1.26</v>
      </c>
      <c r="V7">
        <v>2.5099999999999998</v>
      </c>
      <c r="W7">
        <v>1.99</v>
      </c>
      <c r="X7">
        <v>2.41</v>
      </c>
      <c r="Y7">
        <v>1.89</v>
      </c>
    </row>
    <row r="8" spans="1:25" x14ac:dyDescent="0.3">
      <c r="A8" t="s">
        <v>7</v>
      </c>
      <c r="B8">
        <v>0.54</v>
      </c>
      <c r="C8">
        <v>0.21</v>
      </c>
      <c r="E8">
        <v>0.34</v>
      </c>
      <c r="F8">
        <v>-0.26</v>
      </c>
      <c r="G8" s="9">
        <v>0.22</v>
      </c>
      <c r="H8" s="10">
        <v>-0.01</v>
      </c>
      <c r="N8">
        <v>0.44</v>
      </c>
      <c r="O8">
        <v>1.58</v>
      </c>
      <c r="P8">
        <v>0.43</v>
      </c>
      <c r="Q8">
        <v>1.68</v>
      </c>
      <c r="R8">
        <v>0.25</v>
      </c>
      <c r="S8">
        <v>0.36</v>
      </c>
      <c r="V8">
        <v>0.28000000000000003</v>
      </c>
      <c r="W8">
        <v>0.27</v>
      </c>
      <c r="X8">
        <v>0.16</v>
      </c>
      <c r="Y8">
        <v>0.15</v>
      </c>
    </row>
    <row r="9" spans="1:25" x14ac:dyDescent="0.3">
      <c r="A9" t="s">
        <v>8</v>
      </c>
      <c r="B9">
        <v>-0.23</v>
      </c>
      <c r="C9">
        <v>0.4</v>
      </c>
      <c r="E9">
        <v>2.38</v>
      </c>
      <c r="F9">
        <v>0.85</v>
      </c>
      <c r="G9" s="9">
        <v>0.95</v>
      </c>
      <c r="H9" s="10">
        <v>0.42</v>
      </c>
      <c r="N9">
        <v>0.45</v>
      </c>
      <c r="O9">
        <v>1.54</v>
      </c>
      <c r="P9">
        <v>0.49</v>
      </c>
      <c r="Q9">
        <v>1.52</v>
      </c>
      <c r="R9">
        <v>0.27</v>
      </c>
      <c r="S9">
        <v>0.28999999999999998</v>
      </c>
      <c r="V9">
        <v>0.33</v>
      </c>
      <c r="W9">
        <v>0.33</v>
      </c>
      <c r="X9">
        <v>0.22</v>
      </c>
      <c r="Y9">
        <v>0.21</v>
      </c>
    </row>
    <row r="10" spans="1:25" x14ac:dyDescent="0.3">
      <c r="A10" t="s">
        <v>9</v>
      </c>
      <c r="B10">
        <v>-0.28999999999999998</v>
      </c>
      <c r="C10">
        <v>0.53</v>
      </c>
      <c r="E10">
        <v>1.77</v>
      </c>
      <c r="F10">
        <v>0.27</v>
      </c>
      <c r="G10" s="9">
        <v>0.51</v>
      </c>
      <c r="H10" s="10">
        <v>0.12</v>
      </c>
      <c r="N10">
        <v>1.81</v>
      </c>
      <c r="O10">
        <v>3.64</v>
      </c>
      <c r="P10">
        <v>0.62</v>
      </c>
      <c r="Q10">
        <v>2.2000000000000002</v>
      </c>
      <c r="R10">
        <v>2.0099999999999998</v>
      </c>
      <c r="S10">
        <v>0.72</v>
      </c>
      <c r="V10">
        <v>1.05</v>
      </c>
      <c r="W10">
        <v>0.93</v>
      </c>
      <c r="X10">
        <v>0.95</v>
      </c>
      <c r="Y10">
        <v>0.82</v>
      </c>
    </row>
    <row r="11" spans="1:25" x14ac:dyDescent="0.3">
      <c r="A11" t="s">
        <v>10</v>
      </c>
      <c r="B11">
        <v>-0.26</v>
      </c>
      <c r="C11">
        <v>0.45</v>
      </c>
      <c r="E11">
        <v>2.7</v>
      </c>
      <c r="F11">
        <v>1.5</v>
      </c>
      <c r="G11" s="9">
        <v>1.19</v>
      </c>
      <c r="H11" s="10">
        <v>0.44</v>
      </c>
      <c r="N11">
        <v>1.19</v>
      </c>
      <c r="O11">
        <v>3.14</v>
      </c>
      <c r="P11">
        <v>0.67</v>
      </c>
      <c r="Q11">
        <v>2.3199999999999998</v>
      </c>
      <c r="R11">
        <v>1.51</v>
      </c>
      <c r="S11">
        <v>0.77</v>
      </c>
      <c r="V11">
        <v>0.62</v>
      </c>
      <c r="W11">
        <v>0.55000000000000004</v>
      </c>
      <c r="X11">
        <v>0.51</v>
      </c>
      <c r="Y11">
        <v>0.44</v>
      </c>
    </row>
    <row r="12" spans="1:25" x14ac:dyDescent="0.3">
      <c r="A12" t="s">
        <v>11</v>
      </c>
      <c r="B12">
        <v>0.56999999999999995</v>
      </c>
      <c r="C12">
        <v>0.41</v>
      </c>
      <c r="E12">
        <v>0.59</v>
      </c>
      <c r="F12">
        <v>-0.25</v>
      </c>
      <c r="G12" s="9">
        <v>4.03</v>
      </c>
      <c r="H12" s="10">
        <v>1.65</v>
      </c>
      <c r="N12">
        <v>2.5499999999999998</v>
      </c>
      <c r="O12">
        <v>4.4800000000000004</v>
      </c>
      <c r="P12">
        <v>0.83</v>
      </c>
      <c r="Q12">
        <v>2.99</v>
      </c>
      <c r="R12">
        <v>2.6</v>
      </c>
      <c r="S12">
        <v>0.98</v>
      </c>
      <c r="V12">
        <v>1.21</v>
      </c>
      <c r="W12">
        <v>0.9</v>
      </c>
      <c r="X12">
        <v>1.19</v>
      </c>
      <c r="Y12">
        <v>0.78</v>
      </c>
    </row>
    <row r="13" spans="1:25" x14ac:dyDescent="0.3">
      <c r="A13" t="s">
        <v>12</v>
      </c>
      <c r="B13">
        <v>-0.06</v>
      </c>
      <c r="C13">
        <v>0.31</v>
      </c>
      <c r="E13">
        <v>0.33</v>
      </c>
      <c r="F13">
        <v>-0.28000000000000003</v>
      </c>
      <c r="G13" s="9">
        <v>1.1499999999999999</v>
      </c>
      <c r="H13" s="10">
        <v>0.43</v>
      </c>
      <c r="N13">
        <v>0.56000000000000005</v>
      </c>
      <c r="O13">
        <v>3.38</v>
      </c>
      <c r="P13">
        <v>0.64</v>
      </c>
      <c r="Q13">
        <v>3.12</v>
      </c>
      <c r="R13">
        <v>0.44</v>
      </c>
      <c r="S13">
        <v>0.51</v>
      </c>
      <c r="V13">
        <v>4.1399999999999997</v>
      </c>
      <c r="W13">
        <v>3.61</v>
      </c>
      <c r="X13">
        <v>4.03</v>
      </c>
      <c r="Y13">
        <v>3.49</v>
      </c>
    </row>
    <row r="14" spans="1:25" x14ac:dyDescent="0.3">
      <c r="D14" t="s">
        <v>2</v>
      </c>
      <c r="E14">
        <f>PEARSON($B$5:$B$13,E5:E13)</f>
        <v>-0.12711435130561147</v>
      </c>
      <c r="F14">
        <f>PEARSON($B$5:$B$13,F5:F13)</f>
        <v>-5.8606031343588938E-2</v>
      </c>
      <c r="G14" s="9">
        <f t="shared" ref="G14:H14" si="0">PEARSON($B$5:$B$13,G5:G13)</f>
        <v>0.39983257932976024</v>
      </c>
      <c r="H14" s="10">
        <f t="shared" si="0"/>
        <v>0.40972989364601398</v>
      </c>
      <c r="N14">
        <v>0.56000000000000005</v>
      </c>
      <c r="O14">
        <v>3.08</v>
      </c>
      <c r="P14">
        <v>0.53</v>
      </c>
      <c r="Q14">
        <v>3.1</v>
      </c>
      <c r="R14">
        <v>0.28000000000000003</v>
      </c>
      <c r="S14">
        <v>0.31</v>
      </c>
      <c r="V14">
        <v>1.7</v>
      </c>
      <c r="W14">
        <v>1.69</v>
      </c>
      <c r="X14">
        <v>1.1599999999999999</v>
      </c>
      <c r="Y14">
        <v>1.1499999999999999</v>
      </c>
    </row>
    <row r="15" spans="1:25" x14ac:dyDescent="0.3">
      <c r="D15" t="s">
        <v>3</v>
      </c>
      <c r="E15">
        <f>PEARSON($C$5:$C$13,E5:E13)</f>
        <v>0.4971440915978706</v>
      </c>
      <c r="F15">
        <f>PEARSON($C$5:$C$13,F5:F13)</f>
        <v>0.26000781921948773</v>
      </c>
      <c r="G15" s="9">
        <f t="shared" ref="G15:H15" si="1">PEARSON($C$5:$C$13,G5:G13)</f>
        <v>0.11829492563337438</v>
      </c>
      <c r="H15" s="10">
        <f t="shared" si="1"/>
        <v>0.13440545704286852</v>
      </c>
      <c r="N15" s="4">
        <f t="shared" ref="N15:S15" si="2">PEARSON($B$5:$B$13,N6:N14)</f>
        <v>-0.11865574608870716</v>
      </c>
      <c r="O15" s="4">
        <f t="shared" si="2"/>
        <v>-0.17493408045279338</v>
      </c>
      <c r="P15" s="4">
        <f t="shared" si="2"/>
        <v>0.36866853160112817</v>
      </c>
      <c r="Q15" s="4">
        <f t="shared" si="2"/>
        <v>2.5309734465256733E-2</v>
      </c>
      <c r="R15" s="4">
        <f t="shared" si="2"/>
        <v>-0.12756163818642532</v>
      </c>
      <c r="S15" s="4">
        <f t="shared" si="2"/>
        <v>0.24281958442866153</v>
      </c>
      <c r="V15" s="4">
        <f>PEARSON($B$5:$B$13,V6:V14)</f>
        <v>0.37985392033762505</v>
      </c>
      <c r="W15" s="4">
        <f>PEARSON($B$5:$B$13,W6:W14)</f>
        <v>0.36011614302048861</v>
      </c>
      <c r="X15" s="4">
        <f>PEARSON($B$5:$B$13,X6:X14)</f>
        <v>0.39925028866437656</v>
      </c>
      <c r="Y15">
        <f>PEARSON($B$5:$B$13,Y6:Y14)</f>
        <v>0.39802910217457449</v>
      </c>
    </row>
    <row r="16" spans="1:25" x14ac:dyDescent="0.3">
      <c r="F16" t="s">
        <v>27</v>
      </c>
      <c r="G16">
        <f>G14*SQRT((8)/(1-G14*G14))</f>
        <v>1.2338117882259283</v>
      </c>
      <c r="H16">
        <f>H14*SQRT((8)/(1-H14*H14))</f>
        <v>1.2704257716800917</v>
      </c>
      <c r="N16" s="4">
        <f t="shared" ref="N16:S16" si="3">PEARSON($C$5:$C$13,N6:N14)</f>
        <v>0.29205381174985401</v>
      </c>
      <c r="O16" s="4">
        <f t="shared" si="3"/>
        <v>0.40550852295619466</v>
      </c>
      <c r="P16" s="4">
        <f t="shared" si="3"/>
        <v>0.73872075342913768</v>
      </c>
      <c r="Q16" s="4">
        <f t="shared" si="3"/>
        <v>0.59454306925220468</v>
      </c>
      <c r="R16" s="4">
        <f t="shared" si="3"/>
        <v>0.43589824002285421</v>
      </c>
      <c r="S16" s="4">
        <f t="shared" si="3"/>
        <v>0.75046285275801627</v>
      </c>
      <c r="V16">
        <f>PEARSON($C$5:$C$13,V6:V14)</f>
        <v>9.3649786606704741E-2</v>
      </c>
      <c r="W16">
        <f>PEARSON($C$5:$C$13,W6:W14)</f>
        <v>8.3305402534919581E-2</v>
      </c>
      <c r="X16">
        <f>PEARSON($C$5:$C$13,X6:X14)</f>
        <v>0.11791410079254844</v>
      </c>
      <c r="Y16">
        <f>PEARSON($C$5:$C$13,Y6:Y14)</f>
        <v>0.10842583751336102</v>
      </c>
    </row>
    <row r="17" spans="1:17" x14ac:dyDescent="0.3">
      <c r="F17" t="s">
        <v>28</v>
      </c>
      <c r="G17">
        <f>G15*SQRT((8)/(1-G15*G15))</f>
        <v>0.33695450086388901</v>
      </c>
      <c r="H17">
        <f>H15*SQRT((8)/(1-H15*H15))</f>
        <v>0.38363700080002661</v>
      </c>
      <c r="N17" s="2">
        <f t="shared" ref="N17" si="4">N16*SQRT((8)/(1-N16*N16))</f>
        <v>0.86370900512768767</v>
      </c>
      <c r="O17" s="2">
        <f>D16</f>
        <v>0</v>
      </c>
      <c r="P17" s="2">
        <f t="shared" ref="P17:Q17" si="5">P16*SQRT((8)/(1-P16*P16))</f>
        <v>3.0999730421900855</v>
      </c>
      <c r="Q17" s="2">
        <f t="shared" si="5"/>
        <v>2.0914034636280561</v>
      </c>
    </row>
    <row r="18" spans="1:17" x14ac:dyDescent="0.3">
      <c r="B18" t="s">
        <v>16</v>
      </c>
      <c r="G18" s="9"/>
      <c r="H18" s="10"/>
    </row>
    <row r="19" spans="1:17" x14ac:dyDescent="0.3">
      <c r="A19" t="s">
        <v>4</v>
      </c>
      <c r="B19" s="6">
        <v>2.31</v>
      </c>
      <c r="C19" s="5">
        <v>2.78</v>
      </c>
      <c r="D19" t="s">
        <v>26</v>
      </c>
      <c r="E19">
        <f>PEARSON($B$19:$B$27,E5:E13)</f>
        <v>-0.15618221768045873</v>
      </c>
      <c r="F19">
        <f>PEARSON($B$19:$B$27,F5:F13)</f>
        <v>-9.7084307930210195E-2</v>
      </c>
      <c r="G19" s="9">
        <f>PEARSON($B$19:$B$27,G5:G13)</f>
        <v>0.16384904071417944</v>
      </c>
      <c r="H19" s="10">
        <f>PEARSON($B$19:$B$27,H5:H13)</f>
        <v>0.17381110106709716</v>
      </c>
    </row>
    <row r="20" spans="1:17" x14ac:dyDescent="0.3">
      <c r="A20" t="s">
        <v>5</v>
      </c>
      <c r="B20" s="6">
        <v>3.37</v>
      </c>
      <c r="C20" s="5">
        <v>0.98</v>
      </c>
      <c r="D20" t="s">
        <v>25</v>
      </c>
      <c r="E20">
        <f>PEARSON($C$19:$C$27,E5:E13)</f>
        <v>0.39316803993948801</v>
      </c>
      <c r="F20">
        <f>PEARSON($C$19:$C$27,F5:F13)</f>
        <v>0.14739397855988146</v>
      </c>
      <c r="G20" s="11">
        <f>PEARSON($C$19:$C$27,G5:G13)</f>
        <v>-0.22030886874512876</v>
      </c>
      <c r="H20" s="12">
        <f>PEARSON($C$19:$C$27,H5:H13)</f>
        <v>-0.2022253309857967</v>
      </c>
    </row>
    <row r="21" spans="1:17" x14ac:dyDescent="0.3">
      <c r="A21" t="s">
        <v>6</v>
      </c>
      <c r="B21" s="6">
        <v>0.99</v>
      </c>
      <c r="C21" s="5">
        <v>0.32</v>
      </c>
      <c r="F21" t="s">
        <v>27</v>
      </c>
      <c r="G21">
        <f>G19*SQRT((8)/(1-G19*G19))</f>
        <v>0.46978400270573384</v>
      </c>
      <c r="H21">
        <f>H19*SQRT((8)/(1-H19*H19))</f>
        <v>0.4992105103649872</v>
      </c>
    </row>
    <row r="22" spans="1:17" x14ac:dyDescent="0.3">
      <c r="A22" t="s">
        <v>7</v>
      </c>
      <c r="B22" s="6">
        <v>2.92</v>
      </c>
      <c r="C22" s="5">
        <v>0.98</v>
      </c>
      <c r="F22" t="s">
        <v>28</v>
      </c>
      <c r="G22">
        <f>G20*SQRT((8)/(1-G20*G20))</f>
        <v>-0.63882336633979075</v>
      </c>
      <c r="H22">
        <f>H20*SQRT((8)/(1-H20*H20))</f>
        <v>-0.58404658648850782</v>
      </c>
    </row>
    <row r="23" spans="1:17" x14ac:dyDescent="0.3">
      <c r="A23" t="s">
        <v>8</v>
      </c>
      <c r="B23" s="6">
        <v>-0.76</v>
      </c>
      <c r="C23" s="5">
        <v>1.35</v>
      </c>
    </row>
    <row r="24" spans="1:17" x14ac:dyDescent="0.3">
      <c r="A24" t="s">
        <v>9</v>
      </c>
      <c r="B24" s="6">
        <v>-0.91</v>
      </c>
      <c r="C24" s="5">
        <v>1.66</v>
      </c>
    </row>
    <row r="25" spans="1:17" x14ac:dyDescent="0.3">
      <c r="A25" t="s">
        <v>10</v>
      </c>
      <c r="B25" s="6">
        <v>-0.9</v>
      </c>
      <c r="C25" s="5">
        <v>1.59</v>
      </c>
    </row>
    <row r="26" spans="1:17" x14ac:dyDescent="0.3">
      <c r="A26" t="s">
        <v>11</v>
      </c>
      <c r="B26" s="5">
        <v>1.4</v>
      </c>
      <c r="C26" s="5">
        <v>0.97</v>
      </c>
    </row>
    <row r="27" spans="1:17" x14ac:dyDescent="0.3">
      <c r="A27" t="s">
        <v>12</v>
      </c>
      <c r="B27" s="5">
        <v>-0.2</v>
      </c>
      <c r="C27" s="5">
        <v>0.9</v>
      </c>
    </row>
    <row r="30" spans="1:17" ht="15.6" x14ac:dyDescent="0.3">
      <c r="B30" s="1"/>
      <c r="C30" s="1"/>
    </row>
    <row r="34" spans="5:11" x14ac:dyDescent="0.3">
      <c r="E34" s="2"/>
      <c r="F34" s="2"/>
      <c r="G34" s="2"/>
      <c r="I34" s="2"/>
      <c r="J34" s="2"/>
      <c r="K34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González Muela</dc:creator>
  <cp:lastModifiedBy>Daniel González Muela</cp:lastModifiedBy>
  <dcterms:created xsi:type="dcterms:W3CDTF">2024-07-14T22:00:18Z</dcterms:created>
  <dcterms:modified xsi:type="dcterms:W3CDTF">2024-08-21T06:05:23Z</dcterms:modified>
</cp:coreProperties>
</file>